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率概览" sheetId="1" state="visible" r:id="rId1"/>
    <sheet xmlns:r="http://schemas.openxmlformats.org/officeDocument/2006/relationships" name="历史月度数据" sheetId="2" state="visible" r:id="rId2"/>
    <sheet xmlns:r="http://schemas.openxmlformats.org/officeDocument/2006/relationships" name="情景预估_至2026-09-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24" customWidth="1" min="4" max="4"/>
  </cols>
  <sheetData>
    <row r="1">
      <c r="A1" s="1" t="inlineStr">
        <is>
          <t>日币兑人民币 — 汇率概览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口径 / 说明</t>
        </is>
      </c>
      <c r="D3" s="2" t="inlineStr">
        <is>
          <t>方向</t>
        </is>
      </c>
    </row>
    <row r="4">
      <c r="A4" s="3" t="inlineStr">
        <is>
          <t>100日元兑人民币(最新)</t>
        </is>
      </c>
      <c r="B4" s="3" t="n">
        <v>4.2867</v>
      </c>
      <c r="C4" s="3" t="inlineStr">
        <is>
          <t>新浪财经直接报价 2026-08-05 10:26:19；交叉校验 4.2866</t>
        </is>
      </c>
      <c r="D4" s="3" t="inlineStr">
        <is>
          <t>干预后高位回落</t>
        </is>
      </c>
    </row>
    <row r="5">
      <c r="A5" s="3" t="inlineStr">
        <is>
          <t>建行日元现汇卖出价(100JPY)</t>
        </is>
      </c>
      <c r="B5" s="3" t="n">
        <v>4.2977</v>
      </c>
      <c r="C5" s="3" t="inlineStr">
        <is>
          <t>建行官网 sinfo3.ccb.cn 2026-08-05 06:09:58；购汇参考</t>
        </is>
      </c>
      <c r="D5" s="3" t="inlineStr">
        <is>
          <t>较8/4的4.32回落</t>
        </is>
      </c>
    </row>
    <row r="6">
      <c r="A6" s="3" t="inlineStr">
        <is>
          <t>建行日元现汇买入价(100JPY)</t>
        </is>
      </c>
      <c r="B6" s="3" t="n">
        <v>4.2652</v>
      </c>
      <c r="C6" s="3" t="inlineStr">
        <is>
          <t>建行官网 sinfo3.ccb.cn 2026-08-05；金投网建行牌价日元4.30</t>
        </is>
      </c>
      <c r="D6" s="3" t="inlineStr">
        <is>
          <t>结汇参考</t>
        </is>
      </c>
    </row>
    <row r="7">
      <c r="A7" s="3" t="inlineStr">
        <is>
          <t>建行现汇买卖中值(100JPY)</t>
        </is>
      </c>
      <c r="B7" s="3" t="n">
        <v>4.2815</v>
      </c>
      <c r="C7" s="3" t="inlineStr">
        <is>
          <t>建行买入4.2652/卖出4.2977 中值 2026-08-05</t>
        </is>
      </c>
      <c r="D7" s="3" t="inlineStr">
        <is>
          <t>—</t>
        </is>
      </c>
    </row>
    <row r="8">
      <c r="A8" s="3" t="inlineStr">
        <is>
          <t>美元兑日元 USD/JPY</t>
        </is>
      </c>
      <c r="B8" s="3" t="n">
        <v>157.43</v>
      </c>
      <c r="C8" s="3" t="inlineStr">
        <is>
          <t>新浪财经 10:26:19；8/4收157.69、8/3盘中低见155.20</t>
        </is>
      </c>
      <c r="D8" s="3" t="inlineStr">
        <is>
          <t>干预后区间震荡</t>
        </is>
      </c>
    </row>
    <row r="9">
      <c r="A9" s="3" t="inlineStr">
        <is>
          <t>美元兑人民币 USD/CNY</t>
        </is>
      </c>
      <c r="B9" s="3" t="n">
        <v>6.7484</v>
      </c>
      <c r="C9" s="3" t="inlineStr">
        <is>
          <t>新浪财经在岸人民币 2026-08-05</t>
        </is>
      </c>
      <c r="D9" s="3" t="inlineStr">
        <is>
          <t>—</t>
        </is>
      </c>
    </row>
    <row r="10">
      <c r="A10" s="3" t="inlineStr">
        <is>
          <t>USD/JPY 52周区间</t>
        </is>
      </c>
      <c r="B10" s="3" t="inlineStr">
        <is>
          <t>152.10 – 163.98</t>
        </is>
      </c>
      <c r="C10" s="3" t="inlineStr">
        <is>
          <t>新浪财经</t>
        </is>
      </c>
      <c r="D10" s="3" t="inlineStr">
        <is>
          <t>7/28曾逼近164(40年低点)</t>
        </is>
      </c>
    </row>
    <row r="11">
      <c r="A11" s="3" t="inlineStr">
        <is>
          <t>52周区间(100日元)</t>
        </is>
      </c>
      <c r="B11" s="3" t="inlineStr">
        <is>
          <t>4.1321 – 4.8823</t>
        </is>
      </c>
      <c r="C11" s="3" t="inlineStr">
        <is>
          <t>新浪财经近252交易日</t>
        </is>
      </c>
      <c r="D11" s="3" t="inlineStr">
        <is>
          <t>已脱离下沿(低4.1321)</t>
        </is>
      </c>
    </row>
    <row r="12">
      <c r="A12" s="3" t="inlineStr">
        <is>
          <t>年初至今 YTD</t>
        </is>
      </c>
      <c r="B12" s="3" t="inlineStr">
        <is>
          <t>-3.99%</t>
        </is>
      </c>
      <c r="C12" s="3" t="inlineStr">
        <is>
          <t>相对2026-01初</t>
        </is>
      </c>
      <c r="D12" s="3" t="inlineStr">
        <is>
          <t>日元年内仍贬(近期反弹)</t>
        </is>
      </c>
    </row>
    <row r="13">
      <c r="A13" s="3" t="inlineStr">
        <is>
          <t>近60日变动</t>
        </is>
      </c>
      <c r="B13" s="3" t="inlineStr">
        <is>
          <t>-0.36%</t>
        </is>
      </c>
      <c r="C13" s="3" t="inlineStr">
        <is>
          <t>滚动60交易日</t>
        </is>
      </c>
      <c r="D13" s="3" t="inlineStr">
        <is>
          <t>日元贬值基本收平</t>
        </is>
      </c>
    </row>
    <row r="14">
      <c r="A14" s="3" t="inlineStr">
        <is>
          <t>近20日变动</t>
        </is>
      </c>
      <c r="B14" s="3" t="inlineStr">
        <is>
          <t>2.43%</t>
        </is>
      </c>
      <c r="C14" s="3" t="inlineStr">
        <is>
          <t>滚动20交易日</t>
        </is>
      </c>
      <c r="D14" s="3" t="inlineStr">
        <is>
          <t>干预后由贬转升(+)</t>
        </is>
      </c>
    </row>
    <row r="15">
      <c r="A15" s="3" t="inlineStr">
        <is>
          <t>较7/28低位反弹</t>
        </is>
      </c>
      <c r="B15" s="3" t="inlineStr">
        <is>
          <t>+3.73%</t>
        </is>
      </c>
      <c r="C15" s="3" t="inlineStr">
        <is>
          <t>7/28前后低位 4.1324</t>
        </is>
      </c>
      <c r="D15" s="3" t="inlineStr">
        <is>
          <t>当前非低点</t>
        </is>
      </c>
    </row>
    <row r="16">
      <c r="A16" s="3" t="inlineStr">
        <is>
          <t>概率加权期望(9/25)</t>
        </is>
      </c>
      <c r="B16" s="3" t="n">
        <v>4.2703</v>
      </c>
      <c r="C16" s="3" t="inlineStr">
        <is>
          <t>三情景按概率加权(52/25/23%)</t>
        </is>
      </c>
      <c r="D16" s="3" t="inlineStr">
        <is>
          <t>略低于当前→小幅回落</t>
        </is>
      </c>
    </row>
    <row r="17">
      <c r="A17" s="3" t="inlineStr">
        <is>
          <t>数据时间</t>
        </is>
      </c>
      <c r="B17" s="3" t="inlineStr">
        <is>
          <t>2026-08-05 10:26:19</t>
        </is>
      </c>
      <c r="C17" s="3" t="inlineStr">
        <is>
          <t>主口径:新浪财经直接报价</t>
        </is>
      </c>
      <c r="D17" s="3" t="inlineStr"/>
    </row>
    <row r="18">
      <c r="A18" s="3" t="inlineStr">
        <is>
          <t>数据源</t>
        </is>
      </c>
      <c r="B18" s="3" t="inlineStr">
        <is>
          <t>新浪财经外汇(实时+日K)</t>
        </is>
      </c>
      <c r="C18" s="3" t="inlineStr">
        <is>
          <t>Yahoo/yfinance 本机今日不可达，已切换</t>
        </is>
      </c>
      <c r="D18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</cols>
  <sheetData>
    <row r="1">
      <c r="A1" s="1" t="inlineStr">
        <is>
          <t>100日元兑人民币 — 月度均值 (新浪财经日K)</t>
        </is>
      </c>
    </row>
    <row r="3">
      <c r="A3" s="2" t="inlineStr">
        <is>
          <t>月份</t>
        </is>
      </c>
      <c r="B3" s="2" t="inlineStr">
        <is>
          <t>100日元兑人民币</t>
        </is>
      </c>
      <c r="C3" s="2" t="inlineStr">
        <is>
          <t>环比%</t>
        </is>
      </c>
    </row>
    <row r="4">
      <c r="A4" s="3" t="inlineStr">
        <is>
          <t>2025-08</t>
        </is>
      </c>
      <c r="B4" s="3" t="n">
        <v>4.8616</v>
      </c>
      <c r="C4" s="3" t="inlineStr"/>
    </row>
    <row r="5">
      <c r="A5" s="3" t="inlineStr">
        <is>
          <t>2025-09</t>
        </is>
      </c>
      <c r="B5" s="3" t="n">
        <v>4.8181</v>
      </c>
      <c r="C5" s="3" t="n">
        <v>-0.89</v>
      </c>
    </row>
    <row r="6">
      <c r="A6" s="3" t="inlineStr">
        <is>
          <t>2025-10</t>
        </is>
      </c>
      <c r="B6" s="3" t="n">
        <v>4.7035</v>
      </c>
      <c r="C6" s="3" t="n">
        <v>-2.38</v>
      </c>
    </row>
    <row r="7">
      <c r="A7" s="3" t="inlineStr">
        <is>
          <t>2025-11</t>
        </is>
      </c>
      <c r="B7" s="3" t="n">
        <v>4.5795</v>
      </c>
      <c r="C7" s="3" t="n">
        <v>-2.64</v>
      </c>
    </row>
    <row r="8">
      <c r="A8" s="3" t="inlineStr">
        <is>
          <t>2025-12</t>
        </is>
      </c>
      <c r="B8" s="3" t="n">
        <v>4.5163</v>
      </c>
      <c r="C8" s="3" t="n">
        <v>-1.38</v>
      </c>
    </row>
    <row r="9">
      <c r="A9" s="3" t="inlineStr">
        <is>
          <t>2026-01</t>
        </is>
      </c>
      <c r="B9" s="3" t="n">
        <v>4.4505</v>
      </c>
      <c r="C9" s="3" t="n">
        <v>-1.46</v>
      </c>
    </row>
    <row r="10">
      <c r="A10" s="3" t="inlineStr">
        <is>
          <t>2026-02</t>
        </is>
      </c>
      <c r="B10" s="3" t="n">
        <v>4.4549</v>
      </c>
      <c r="C10" s="3" t="n">
        <v>0.1</v>
      </c>
    </row>
    <row r="11">
      <c r="A11" s="3" t="inlineStr">
        <is>
          <t>2026-03</t>
        </is>
      </c>
      <c r="B11" s="3" t="n">
        <v>4.3441</v>
      </c>
      <c r="C11" s="3" t="n">
        <v>-2.49</v>
      </c>
    </row>
    <row r="12">
      <c r="A12" s="3" t="inlineStr">
        <is>
          <t>2026-04</t>
        </is>
      </c>
      <c r="B12" s="3" t="n">
        <v>4.2964</v>
      </c>
      <c r="C12" s="3" t="n">
        <v>-1.1</v>
      </c>
    </row>
    <row r="13">
      <c r="A13" s="3" t="inlineStr">
        <is>
          <t>2026-05</t>
        </is>
      </c>
      <c r="B13" s="3" t="n">
        <v>4.2974</v>
      </c>
      <c r="C13" s="3" t="n">
        <v>0.02</v>
      </c>
    </row>
    <row r="14">
      <c r="A14" s="3" t="inlineStr">
        <is>
          <t>2026-06</t>
        </is>
      </c>
      <c r="B14" s="3" t="n">
        <v>4.2137</v>
      </c>
      <c r="C14" s="3" t="n">
        <v>-1.95</v>
      </c>
    </row>
    <row r="15">
      <c r="A15" s="3" t="inlineStr">
        <is>
          <t>2026-07</t>
        </is>
      </c>
      <c r="B15" s="3" t="n">
        <v>4.1769</v>
      </c>
      <c r="C15" s="3" t="n">
        <v>-0.87</v>
      </c>
    </row>
    <row r="16">
      <c r="A16" s="3" t="inlineStr">
        <is>
          <t>2026-08(实时)</t>
        </is>
      </c>
      <c r="B16" s="3" t="n">
        <v>4.2867</v>
      </c>
      <c r="C16" s="3" t="n">
        <v>2.63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8" customWidth="1" min="5" max="5"/>
    <col width="72" customWidth="1" min="6" max="6"/>
  </cols>
  <sheetData>
    <row r="1">
      <c r="A1" s="1" t="inlineStr">
        <is>
          <t>日币兑人民币情景预估 (至 2026-09-25)</t>
        </is>
      </c>
    </row>
    <row r="3">
      <c r="A3" s="2" t="inlineStr">
        <is>
          <t>情景</t>
        </is>
      </c>
      <c r="B3" s="2" t="inlineStr">
        <is>
          <t>假设 USD/JPY</t>
        </is>
      </c>
      <c r="C3" s="2" t="inlineStr">
        <is>
          <t>假设 USD/CNY</t>
        </is>
      </c>
      <c r="D3" s="2" t="inlineStr">
        <is>
          <t>100日元(公式=C/B*100)</t>
        </is>
      </c>
      <c r="E3" s="2" t="inlineStr">
        <is>
          <t>概率</t>
        </is>
      </c>
      <c r="F3" s="2" t="inlineStr">
        <is>
          <t>含义</t>
        </is>
      </c>
    </row>
    <row r="4">
      <c r="A4" s="4" t="inlineStr">
        <is>
          <t>基准情景</t>
        </is>
      </c>
      <c r="B4" s="4" t="n">
        <v>158</v>
      </c>
      <c r="C4" s="4" t="n">
        <v>6.72</v>
      </c>
      <c r="D4" s="4">
        <f>C4/B4*100</f>
        <v/>
      </c>
      <c r="E4" s="4" t="inlineStr">
        <is>
          <t>52%</t>
        </is>
      </c>
      <c r="F4" s="5" t="inlineStr">
        <is>
          <t>BoJ 6月纪要转鹰 + 贝森特施压 + 美联储9月加息概率回落(75%→58.4%)三重共振，令日元下行压力较8/4明显减轻，但瑞银上修 USD/JPY 9月预测至162、花旗看156-161区间，结构性利差(约250bp)未消。至9/25 USD/JPY 由 157.5 温和回升至 ~158，100日元由 4.28 小幅回落至 ~4.25 —— 区间震荡、日元弱势收敛但未反转。</t>
        </is>
      </c>
    </row>
    <row r="5">
      <c r="A5" s="4" t="inlineStr">
        <is>
          <t>乐观(日元续强)</t>
        </is>
      </c>
      <c r="B5" s="4" t="n">
        <v>152</v>
      </c>
      <c r="C5" s="4" t="n">
        <v>6.7</v>
      </c>
      <c r="D5" s="4">
        <f>C5/B5*100</f>
        <v/>
      </c>
      <c r="E5" s="4" t="inlineStr">
        <is>
          <t>25%</t>
        </is>
      </c>
      <c r="F5" s="5" t="inlineStr">
        <is>
          <t>BoJ 9/17-18 真的加息至1.25%(6月纪要已有委员主张'每几个月加息一次'、尽快提至中性1.1-2.5%) + 美联储9月按兵不动(油价崩+美伊缓和已令加息概率降至58.4%) + 第二轮联合干预落地，USD/JPY 有效下破155→测试152(富国看152)，空头挤压放大涨幅，100日元升至 4.41 —— 对'低点买日元'最不利(日元最贵)。概率由20%上调至25%。</t>
        </is>
      </c>
    </row>
    <row r="6">
      <c r="A6" s="4" t="inlineStr">
        <is>
          <t>悲观(日元回弱)</t>
        </is>
      </c>
      <c r="B6" s="4" t="n">
        <v>163</v>
      </c>
      <c r="C6" s="4" t="n">
        <v>6.78</v>
      </c>
      <c r="D6" s="4">
        <f>C6/B6*100</f>
        <v/>
      </c>
      <c r="E6" s="4" t="inlineStr">
        <is>
          <t>23%</t>
        </is>
      </c>
      <c r="F6" s="5" t="inlineStr">
        <is>
          <t>高盛路径兑现(BoJ 下次加息推迟至2027/1) + 美联储9月仍加息使利差走阔 + 干预弹药见底(美方外汇储备仅约380亿美元)，套息交易重建，USD/JPY 重回 163 前高附近，100日元回落至 ~4.16 —— 对'低点买日元'最有利(日元最便宜)。概率由25%小幅下调至23%(BoJ转鹰削弱该路径)。</t>
        </is>
      </c>
    </row>
    <row r="7">
      <c r="A7" s="6" t="inlineStr">
        <is>
          <t>概率加权期望值</t>
        </is>
      </c>
      <c r="B7" s="6" t="inlineStr"/>
      <c r="C7" s="6" t="inlineStr"/>
      <c r="D7" s="6" t="n">
        <v>4.2703</v>
      </c>
      <c r="E7" s="6" t="inlineStr">
        <is>
          <t>100%</t>
        </is>
      </c>
      <c r="F7" s="6" t="inlineStr">
        <is>
          <t>三情景按概率加权的 9/25 预期值</t>
        </is>
      </c>
    </row>
    <row r="9">
      <c r="A9" s="7" t="inlineStr">
        <is>
          <t>说明：基准为最可能路径；悲观=日元继续走弱(买日元更便宜)；乐观=日元反弹(买日元更贵)。非投资建议。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2026-08-05T02:27:07Z</dcterms:created>
  <dcterms:modified xmlns:dcterms="http://purl.org/dc/terms/" xmlns:xsi="http://www.w3.org/2001/XMLSchema-instance" xsi:type="dcterms:W3CDTF">2026-08-05T02:27:07Z</dcterms:modified>
</cp:coreProperties>
</file>