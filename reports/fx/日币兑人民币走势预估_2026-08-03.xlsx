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率概览" sheetId="1" state="visible" r:id="rId1"/>
    <sheet xmlns:r="http://schemas.openxmlformats.org/officeDocument/2006/relationships" name="历史月度数据" sheetId="2" state="visible" r:id="rId2"/>
    <sheet xmlns:r="http://schemas.openxmlformats.org/officeDocument/2006/relationships" name="情景预估_至2026-09-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2" customWidth="1" min="3" max="3"/>
    <col width="22" customWidth="1" min="4" max="4"/>
  </cols>
  <sheetData>
    <row r="1">
      <c r="A1" s="1" t="inlineStr">
        <is>
          <t>日币兑人民币 — 汇率概览</t>
        </is>
      </c>
    </row>
    <row r="3">
      <c r="A3" s="2" t="inlineStr">
        <is>
          <t>指标</t>
        </is>
      </c>
      <c r="B3" s="2" t="inlineStr">
        <is>
          <t>数值</t>
        </is>
      </c>
      <c r="C3" s="2" t="inlineStr">
        <is>
          <t>口径 / 说明</t>
        </is>
      </c>
      <c r="D3" s="2" t="inlineStr">
        <is>
          <t>方向</t>
        </is>
      </c>
    </row>
    <row r="4">
      <c r="A4" s="3" t="inlineStr">
        <is>
          <t>100日元兑人民币(最新)</t>
        </is>
      </c>
      <c r="B4" s="3" t="n">
        <v>4.3036</v>
      </c>
      <c r="C4" s="3" t="inlineStr">
        <is>
          <t>USD/CNY÷USD/JPY×100，Yahoo Finance 2026-08-03</t>
        </is>
      </c>
      <c r="D4" s="3" t="inlineStr">
        <is>
          <t>干预后反弹至相对高位</t>
        </is>
      </c>
    </row>
    <row r="5">
      <c r="A5" s="3" t="inlineStr">
        <is>
          <t>建行日元现汇卖出价(100JPY)</t>
        </is>
      </c>
      <c r="B5" s="3" t="n">
        <v>4.33</v>
      </c>
      <c r="C5" s="3" t="inlineStr">
        <is>
          <t>金投/中金 2026-08-03 现汇卖出价；购汇参考</t>
        </is>
      </c>
      <c r="D5" s="3" t="inlineStr">
        <is>
          <t>偏贵(干预后)</t>
        </is>
      </c>
    </row>
    <row r="6">
      <c r="A6" s="3" t="inlineStr">
        <is>
          <t>美元兑日元 USD/JPY</t>
        </is>
      </c>
      <c r="B6" s="3" t="n">
        <v>156.918</v>
      </c>
      <c r="C6" s="3" t="inlineStr">
        <is>
          <t>Yahoo Finance 2026-08-03；8/3盘中破156(155.22)</t>
        </is>
      </c>
      <c r="D6" s="3" t="inlineStr">
        <is>
          <t>美元走弱、日元3个月新高</t>
        </is>
      </c>
    </row>
    <row r="7">
      <c r="A7" s="3" t="inlineStr">
        <is>
          <t>美元兑人民币 USD/CNY</t>
        </is>
      </c>
      <c r="B7" s="3" t="n">
        <v>6.7531</v>
      </c>
      <c r="C7" s="3" t="inlineStr">
        <is>
          <t>Yahoo Finance 2026-08-03</t>
        </is>
      </c>
      <c r="D7" s="3" t="inlineStr">
        <is>
          <t>—</t>
        </is>
      </c>
    </row>
    <row r="8">
      <c r="A8" s="3" t="inlineStr">
        <is>
          <t>52周区间(100日元)</t>
        </is>
      </c>
      <c r="B8" s="3" t="inlineStr">
        <is>
          <t>4.1310 – 4.8763</t>
        </is>
      </c>
      <c r="C8" s="3" t="inlineStr">
        <is>
          <t>Yahoo Finance 近252交易日</t>
        </is>
      </c>
      <c r="D8" s="3" t="inlineStr">
        <is>
          <t>已脱离下沿(低4.1310)</t>
        </is>
      </c>
    </row>
    <row r="9">
      <c r="A9" s="3" t="inlineStr">
        <is>
          <t>年初至今 YTD</t>
        </is>
      </c>
      <c r="B9" s="3" t="inlineStr">
        <is>
          <t>-3.70%</t>
        </is>
      </c>
      <c r="C9" s="3" t="inlineStr">
        <is>
          <t>相对2026-01初</t>
        </is>
      </c>
      <c r="D9" s="3" t="inlineStr">
        <is>
          <t>日元年内仍贬(近期反弹)</t>
        </is>
      </c>
    </row>
    <row r="10">
      <c r="A10" s="3" t="inlineStr">
        <is>
          <t>近60日变动</t>
        </is>
      </c>
      <c r="B10" s="3" t="inlineStr">
        <is>
          <t>-0.54%</t>
        </is>
      </c>
      <c r="C10" s="3" t="inlineStr">
        <is>
          <t>滚动60交易日</t>
        </is>
      </c>
      <c r="D10" s="3" t="inlineStr">
        <is>
          <t>日元贬值收窄</t>
        </is>
      </c>
    </row>
    <row r="11">
      <c r="A11" s="3" t="inlineStr">
        <is>
          <t>近20日变动</t>
        </is>
      </c>
      <c r="B11" s="3" t="inlineStr">
        <is>
          <t>2.52%</t>
        </is>
      </c>
      <c r="C11" s="3" t="inlineStr">
        <is>
          <t>滚动20交易日</t>
        </is>
      </c>
      <c r="D11" s="3" t="inlineStr">
        <is>
          <t>干预后由贬转升(+)</t>
        </is>
      </c>
    </row>
    <row r="12">
      <c r="A12" s="3" t="inlineStr">
        <is>
          <t>数据时间</t>
        </is>
      </c>
      <c r="B12" s="3" t="inlineStr">
        <is>
          <t>2026-08-03</t>
        </is>
      </c>
      <c r="C12" s="3" t="inlineStr">
        <is>
          <t>交叉汇率主口径</t>
        </is>
      </c>
      <c r="D12" s="3" t="inlineStr"/>
    </row>
    <row r="13">
      <c r="A13" s="3" t="inlineStr">
        <is>
          <t>数据源</t>
        </is>
      </c>
      <c r="B13" s="3" t="inlineStr">
        <is>
          <t>Yahoo Finance (yfinance)</t>
        </is>
      </c>
      <c r="C13" s="3" t="inlineStr">
        <is>
          <t>实时+1年日度历史</t>
        </is>
      </c>
      <c r="D13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</cols>
  <sheetData>
    <row r="1">
      <c r="A1" s="1" t="inlineStr">
        <is>
          <t>100日元兑人民币 — 月度均值 (Yahoo Finance)</t>
        </is>
      </c>
    </row>
    <row r="2">
      <c r="A2" t="inlineStr">
        <is>
          <t>月份</t>
        </is>
      </c>
      <c r="B2" t="inlineStr">
        <is>
          <t>100日元兑人民币</t>
        </is>
      </c>
      <c r="C2" t="inlineStr">
        <is>
          <t>环比%</t>
        </is>
      </c>
    </row>
    <row r="3">
      <c r="A3" s="2" t="n"/>
      <c r="B3" s="2" t="n"/>
      <c r="C3" s="2" t="n"/>
    </row>
    <row r="4">
      <c r="A4" s="3" t="inlineStr">
        <is>
          <t>2025-08</t>
        </is>
      </c>
      <c r="B4" s="3" t="n">
        <v>4.866</v>
      </c>
      <c r="C4" s="3" t="inlineStr"/>
    </row>
    <row r="5">
      <c r="A5" s="3" t="inlineStr">
        <is>
          <t>2025-09</t>
        </is>
      </c>
      <c r="B5" s="3" t="n">
        <v>4.818</v>
      </c>
      <c r="C5" s="3" t="n">
        <v>-0.99</v>
      </c>
    </row>
    <row r="6">
      <c r="A6" s="3" t="inlineStr">
        <is>
          <t>2025-10</t>
        </is>
      </c>
      <c r="B6" s="3" t="n">
        <v>4.7054</v>
      </c>
      <c r="C6" s="3" t="n">
        <v>-2.34</v>
      </c>
    </row>
    <row r="7">
      <c r="A7" s="3" t="inlineStr">
        <is>
          <t>2025-11</t>
        </is>
      </c>
      <c r="B7" s="3" t="n">
        <v>4.5841</v>
      </c>
      <c r="C7" s="3" t="n">
        <v>-2.58</v>
      </c>
    </row>
    <row r="8">
      <c r="A8" s="3" t="inlineStr">
        <is>
          <t>2025-12</t>
        </is>
      </c>
      <c r="B8" s="3" t="n">
        <v>4.5217</v>
      </c>
      <c r="C8" s="3" t="n">
        <v>-1.36</v>
      </c>
    </row>
    <row r="9">
      <c r="A9" s="3" t="inlineStr">
        <is>
          <t>2026-01</t>
        </is>
      </c>
      <c r="B9" s="3" t="n">
        <v>4.4482</v>
      </c>
      <c r="C9" s="3" t="n">
        <v>-1.63</v>
      </c>
    </row>
    <row r="10">
      <c r="A10" s="3" t="inlineStr">
        <is>
          <t>2026-02</t>
        </is>
      </c>
      <c r="B10" s="3" t="n">
        <v>4.459</v>
      </c>
      <c r="C10" s="3" t="n">
        <v>0.24</v>
      </c>
    </row>
    <row r="11">
      <c r="A11" s="3" t="inlineStr">
        <is>
          <t>2026-03</t>
        </is>
      </c>
      <c r="B11" s="3" t="n">
        <v>4.3458</v>
      </c>
      <c r="C11" s="3" t="n">
        <v>-2.54</v>
      </c>
    </row>
    <row r="12">
      <c r="A12" s="3" t="inlineStr">
        <is>
          <t>2026-04</t>
        </is>
      </c>
      <c r="B12" s="3" t="n">
        <v>4.2949</v>
      </c>
      <c r="C12" s="3" t="n">
        <v>-1.17</v>
      </c>
    </row>
    <row r="13">
      <c r="A13" s="3" t="inlineStr">
        <is>
          <t>2026-05</t>
        </is>
      </c>
      <c r="B13" s="3" t="n">
        <v>4.3019</v>
      </c>
      <c r="C13" s="3" t="n">
        <v>0.16</v>
      </c>
    </row>
    <row r="14">
      <c r="A14" s="3" t="inlineStr">
        <is>
          <t>2026-06</t>
        </is>
      </c>
      <c r="B14" s="3" t="n">
        <v>4.215</v>
      </c>
      <c r="C14" s="3" t="n">
        <v>-2.02</v>
      </c>
    </row>
    <row r="15">
      <c r="A15" s="3" t="inlineStr">
        <is>
          <t>2026-07</t>
        </is>
      </c>
      <c r="B15" s="3" t="n">
        <v>4.1704</v>
      </c>
      <c r="C15" s="3" t="n">
        <v>-1.06</v>
      </c>
    </row>
    <row r="16">
      <c r="A16" s="3" t="inlineStr">
        <is>
          <t>2026-08</t>
        </is>
      </c>
      <c r="B16" s="3" t="n">
        <v>4.298</v>
      </c>
      <c r="C16" s="3" t="n">
        <v>3.06</v>
      </c>
    </row>
    <row r="17">
      <c r="A17" s="3" t="inlineStr">
        <is>
          <t>2026-08</t>
        </is>
      </c>
      <c r="B17" s="3" t="n">
        <v>4.3036</v>
      </c>
      <c r="C17" s="3" t="n">
        <v>0.13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  <col width="8" customWidth="1" min="5" max="5"/>
    <col width="64" customWidth="1" min="6" max="6"/>
  </cols>
  <sheetData>
    <row r="1">
      <c r="A1" s="1" t="inlineStr">
        <is>
          <t>日币兑人民币情景预估 (至 2026-09-25)</t>
        </is>
      </c>
    </row>
    <row r="3">
      <c r="A3" s="2" t="inlineStr">
        <is>
          <t>情景</t>
        </is>
      </c>
      <c r="B3" s="2" t="inlineStr">
        <is>
          <t>假设 USD/JPY</t>
        </is>
      </c>
      <c r="C3" s="2" t="inlineStr">
        <is>
          <t>假设 USD/CNY</t>
        </is>
      </c>
      <c r="D3" s="2" t="inlineStr">
        <is>
          <t>100日元(公式=C/B*100)</t>
        </is>
      </c>
      <c r="E3" s="2" t="inlineStr">
        <is>
          <t>概率</t>
        </is>
      </c>
      <c r="F3" s="2" t="inlineStr">
        <is>
          <t>含义</t>
        </is>
      </c>
    </row>
    <row r="4">
      <c r="A4" s="3" t="inlineStr">
        <is>
          <t>基准情景</t>
        </is>
      </c>
      <c r="B4" s="3" t="n">
        <v>158</v>
      </c>
      <c r="C4" s="3" t="n">
        <v>6.7</v>
      </c>
      <c r="D4" s="4">
        <f>C4/B4*100</f>
        <v/>
      </c>
      <c r="E4" s="3" t="inlineStr">
        <is>
          <t>50%</t>
        </is>
      </c>
      <c r="F4" s="3" t="inlineStr">
        <is>
          <t>市场当前最高概率路径为'区间弱势'(OIS 9月加息概率仅~29%、10月~78%，约半数彭博经济学家预计BoJ等到12月)；叠加美日协调干预的'政策掩护'，USD/JPY 在 155-162 区间高位震荡、由当前156.4缓升至~158，100日元由4.32小幅回落至~4.24——贬值暂止、日元维持偏弱区间。</t>
        </is>
      </c>
    </row>
    <row r="5">
      <c r="A5" s="3" t="inlineStr">
        <is>
          <t>乐观(日元续强)</t>
        </is>
      </c>
      <c r="B5" s="3" t="n">
        <v>149</v>
      </c>
      <c r="C5" s="3" t="n">
        <v>6.68</v>
      </c>
      <c r="D5" s="4">
        <f>C5/B5*100</f>
        <v/>
      </c>
      <c r="E5" s="3" t="inlineStr">
        <is>
          <t>25%</t>
        </is>
      </c>
      <c r="F5" s="3" t="inlineStr">
        <is>
          <t>进一步联合干预落地+BoJ 9月真的加息至1.25%(植田'加快加息'指引)+Fed 9月维持(美非农放缓)，USD/JPY探148-150，100日元升至4.48+——对'低点买日元'最不利(日元变贵)。</t>
        </is>
      </c>
    </row>
    <row r="6">
      <c r="A6" s="3" t="inlineStr">
        <is>
          <t>悲观(日元回弱)</t>
        </is>
      </c>
      <c r="B6" s="3" t="n">
        <v>163</v>
      </c>
      <c r="C6" s="3" t="n">
        <v>6.76</v>
      </c>
      <c r="D6" s="4">
        <f>C6/B6*100</f>
        <v/>
      </c>
      <c r="E6" s="3" t="inlineStr">
        <is>
          <t>25%</t>
        </is>
      </c>
      <c r="F6" s="3" t="inlineStr">
        <is>
          <t>历史重演: 4-5月日本单边干预(~700亿美元)2月内被吸收；本轮若BoJ推迟至10/12月、利差260bp令套息重建、美方后续干预力度不及预期，USD/JPY重回162-164测试前高，100日元回落至~4.12(近52周低位4.1310)——对'低点买日元'最有利(日元更便宜)。</t>
        </is>
      </c>
    </row>
    <row r="8">
      <c r="A8" s="5" t="inlineStr">
        <is>
          <t>说明：基准为最可能路径；悲观=日元继续走弱(买日元更便宜)；乐观=日元反弹(买日元更贵)。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2026-08-03T09:07:03Z</dcterms:created>
  <dcterms:modified xmlns:dcterms="http://purl.org/dc/terms/" xmlns:xsi="http://www.w3.org/2001/XMLSchema-instance" xsi:type="dcterms:W3CDTF">2026-08-03T09:07:03Z</dcterms:modified>
</cp:coreProperties>
</file>